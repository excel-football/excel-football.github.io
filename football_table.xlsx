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1"/>
  <workbookPr/>
  <mc:AlternateContent xmlns:mc="http://schemas.openxmlformats.org/markup-compatibility/2006">
    <mc:Choice Requires="x15">
      <x15ac:absPath xmlns:x15ac="http://schemas.microsoft.com/office/spreadsheetml/2010/11/ac" url="https://d.docs.live.net/0440565fc7f8a026/NUYIE_TEMP/"/>
    </mc:Choice>
  </mc:AlternateContent>
  <xr:revisionPtr revIDLastSave="0" documentId="8_{9FB7CFDA-3957-41C3-BDE5-D6861581F9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backup" sheetId="3" r:id="rId2"/>
    <sheet name="Sheet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20" i="1"/>
  <c r="E16" i="1"/>
  <c r="E14" i="1"/>
  <c r="E12" i="1"/>
  <c r="E10" i="1"/>
  <c r="E8" i="1"/>
  <c r="E6" i="1"/>
  <c r="E4" i="1"/>
  <c r="L3" i="1"/>
  <c r="F20" i="1"/>
  <c r="F17" i="1"/>
  <c r="F12" i="1"/>
  <c r="F11" i="1"/>
  <c r="F9" i="1"/>
  <c r="F6" i="1"/>
  <c r="K3" i="1"/>
  <c r="J3" i="1"/>
  <c r="I3" i="1"/>
  <c r="F5" i="1"/>
  <c r="E21" i="1"/>
  <c r="E17" i="1"/>
  <c r="F14" i="1"/>
  <c r="E13" i="1"/>
  <c r="E11" i="1"/>
  <c r="F8" i="1"/>
  <c r="E7" i="1"/>
  <c r="E5" i="1"/>
  <c r="F21" i="1"/>
  <c r="F16" i="1"/>
  <c r="E15" i="1"/>
  <c r="F13" i="1"/>
  <c r="F10" i="1"/>
  <c r="E9" i="1"/>
  <c r="F7" i="1"/>
  <c r="F4" i="1"/>
  <c r="H6" i="1"/>
  <c r="H7" i="1"/>
  <c r="H8" i="1"/>
  <c r="H9" i="1"/>
  <c r="J9" i="1" s="1"/>
  <c r="H10" i="1"/>
  <c r="H11" i="1"/>
  <c r="H12" i="1"/>
  <c r="H13" i="1"/>
  <c r="H14" i="1"/>
  <c r="H15" i="1"/>
  <c r="H16" i="1"/>
  <c r="H17" i="1"/>
  <c r="H21" i="1"/>
  <c r="H20" i="1"/>
  <c r="H5" i="1"/>
  <c r="H4" i="1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I20" i="1"/>
  <c r="L20" i="1"/>
  <c r="J21" i="1"/>
  <c r="K21" i="1"/>
  <c r="J4" i="3"/>
  <c r="I4" i="3"/>
  <c r="L5" i="3"/>
  <c r="K5" i="3"/>
  <c r="L6" i="3"/>
  <c r="I6" i="3"/>
  <c r="K7" i="3"/>
  <c r="J7" i="3"/>
  <c r="K8" i="3"/>
  <c r="I8" i="3"/>
  <c r="L9" i="3"/>
  <c r="J9" i="3"/>
  <c r="J10" i="3"/>
  <c r="I10" i="3"/>
  <c r="L11" i="3"/>
  <c r="K11" i="3"/>
  <c r="L12" i="3"/>
  <c r="I12" i="3"/>
  <c r="K13" i="3"/>
  <c r="J13" i="3"/>
  <c r="K14" i="3"/>
  <c r="I14" i="3"/>
  <c r="L15" i="3"/>
  <c r="J15" i="3"/>
  <c r="J16" i="3"/>
  <c r="I16" i="3"/>
  <c r="L17" i="3"/>
  <c r="K17" i="3"/>
  <c r="K22" i="3"/>
  <c r="L22" i="3"/>
  <c r="I22" i="3"/>
  <c r="J22" i="3"/>
  <c r="I4" i="1" l="1"/>
  <c r="J4" i="1"/>
  <c r="K5" i="1"/>
  <c r="L5" i="1"/>
  <c r="K17" i="1"/>
  <c r="L17" i="1"/>
  <c r="I16" i="1"/>
  <c r="J16" i="1"/>
  <c r="J15" i="1"/>
  <c r="L15" i="1"/>
  <c r="I14" i="1"/>
  <c r="K14" i="1"/>
  <c r="J13" i="1"/>
  <c r="K13" i="1"/>
  <c r="L12" i="1"/>
  <c r="K11" i="1"/>
  <c r="L11" i="1"/>
  <c r="I10" i="1"/>
  <c r="J10" i="1"/>
  <c r="L9" i="1"/>
  <c r="I8" i="1"/>
  <c r="K8" i="1"/>
  <c r="J7" i="1"/>
  <c r="K7" i="1"/>
  <c r="I6" i="1"/>
  <c r="L6" i="1"/>
  <c r="L22" i="1" l="1"/>
  <c r="K22" i="1"/>
  <c r="J22" i="1"/>
  <c r="I22" i="1"/>
</calcChain>
</file>

<file path=xl/sharedStrings.xml><?xml version="1.0" encoding="utf-8"?>
<sst xmlns="http://schemas.openxmlformats.org/spreadsheetml/2006/main" count="100" uniqueCount="51">
  <si>
    <t>เตะนัดละ 8 นาที</t>
  </si>
  <si>
    <t>สี</t>
  </si>
  <si>
    <t>สรุปจำนวน match ที่เจอกัน</t>
  </si>
  <si>
    <t>เตะยัง</t>
  </si>
  <si>
    <t>นัดที่</t>
  </si>
  <si>
    <t>ทีม 1</t>
  </si>
  <si>
    <t>ทีม 2</t>
  </si>
  <si>
    <t>Score</t>
  </si>
  <si>
    <t>score</t>
  </si>
  <si>
    <t>A</t>
  </si>
  <si>
    <t>B</t>
  </si>
  <si>
    <t>C</t>
  </si>
  <si>
    <t>D</t>
  </si>
  <si>
    <t>ขาวแดง</t>
  </si>
  <si>
    <t>White</t>
  </si>
  <si>
    <t>Red</t>
  </si>
  <si>
    <t>Yellow</t>
  </si>
  <si>
    <t>Blue</t>
  </si>
  <si>
    <t>ขาวน้ำเงิน</t>
  </si>
  <si>
    <t>เสมอ 1-1</t>
  </si>
  <si>
    <t>ขาวเหลือง</t>
  </si>
  <si>
    <t>Code สี</t>
  </si>
  <si>
    <t>แดงน้ำเงิน</t>
  </si>
  <si>
    <t>แดงเหลือง</t>
  </si>
  <si>
    <t>เหลืองน้ำเงิน</t>
  </si>
  <si>
    <t>Black</t>
  </si>
  <si>
    <t>Green</t>
  </si>
  <si>
    <t>Purple</t>
  </si>
  <si>
    <t>Orange</t>
  </si>
  <si>
    <r>
      <rPr>
        <b/>
        <sz val="14"/>
        <color rgb="FF1F4E78"/>
        <rFont val="Tahoma"/>
        <family val="2"/>
      </rPr>
      <t>ถ้าเวลาเหลือ</t>
    </r>
    <r>
      <rPr>
        <b/>
        <sz val="14"/>
        <color rgb="FFFF0000"/>
        <rFont val="Tahoma"/>
        <family val="2"/>
      </rPr>
      <t>มากกว่า 16 นาที</t>
    </r>
    <r>
      <rPr>
        <b/>
        <sz val="14"/>
        <color rgb="FF1F4E78"/>
        <rFont val="Tahoma"/>
        <family val="2"/>
      </rPr>
      <t xml:space="preserve"> ให้เตะนัด </t>
    </r>
    <r>
      <rPr>
        <b/>
        <sz val="14"/>
        <color rgb="FFFF0000"/>
        <rFont val="Tahoma"/>
        <family val="2"/>
      </rPr>
      <t>15,16,</t>
    </r>
    <r>
      <rPr>
        <b/>
        <sz val="14"/>
        <color rgb="FF1F4E78"/>
        <rFont val="Tahoma"/>
        <family val="2"/>
      </rPr>
      <t xml:space="preserve">   ถ้าเวลาเหลือไม่พอให้</t>
    </r>
    <r>
      <rPr>
        <b/>
        <sz val="14"/>
        <color rgb="FFFF0000"/>
        <rFont val="Tahoma"/>
        <family val="2"/>
      </rPr>
      <t>เตะแค่ 1 นัด ให้เป่ายิ้งฉุบ</t>
    </r>
    <r>
      <rPr>
        <b/>
        <sz val="14"/>
        <color rgb="FF1F4E78"/>
        <rFont val="Tahoma"/>
        <family val="2"/>
      </rPr>
      <t xml:space="preserve"> สุ่มเตะ 2 ทีมเลย</t>
    </r>
  </si>
  <si>
    <t>Total</t>
  </si>
  <si>
    <t>white</t>
  </si>
  <si>
    <t>red</t>
  </si>
  <si>
    <t>yellow</t>
  </si>
  <si>
    <t>blue</t>
  </si>
  <si>
    <t>F</t>
  </si>
  <si>
    <t>ขาว</t>
  </si>
  <si>
    <t>0-2</t>
  </si>
  <si>
    <t>เหลือง</t>
  </si>
  <si>
    <t>1-1</t>
  </si>
  <si>
    <t>H</t>
  </si>
  <si>
    <t>2-1</t>
  </si>
  <si>
    <t>Next</t>
  </si>
  <si>
    <t>0-0</t>
  </si>
  <si>
    <t>0-1</t>
  </si>
  <si>
    <t>1-0</t>
  </si>
  <si>
    <t>1-2</t>
  </si>
  <si>
    <t>0-5</t>
  </si>
  <si>
    <t>1-4</t>
  </si>
  <si>
    <r>
      <rPr>
        <b/>
        <sz val="14"/>
        <color rgb="FF1F4E78"/>
        <rFont val="Tahoma"/>
        <scheme val="minor"/>
      </rPr>
      <t>ถ้าเวลาเหลือ</t>
    </r>
    <r>
      <rPr>
        <b/>
        <sz val="14"/>
        <color rgb="FFFF0000"/>
        <rFont val="Tahoma"/>
        <scheme val="minor"/>
      </rPr>
      <t>มากกว่า 16 นาที</t>
    </r>
    <r>
      <rPr>
        <b/>
        <sz val="14"/>
        <color rgb="FF1F4E78"/>
        <rFont val="Tahoma"/>
        <scheme val="minor"/>
      </rPr>
      <t xml:space="preserve"> ให้เตะนัด </t>
    </r>
    <r>
      <rPr>
        <b/>
        <sz val="14"/>
        <color rgb="FFFF0000"/>
        <rFont val="Tahoma"/>
        <scheme val="minor"/>
      </rPr>
      <t>15,16,</t>
    </r>
    <r>
      <rPr>
        <b/>
        <sz val="14"/>
        <color rgb="FF1F4E78"/>
        <rFont val="Tahoma"/>
        <scheme val="minor"/>
      </rPr>
      <t xml:space="preserve">   ถ้าเวลาเหลือให้</t>
    </r>
    <r>
      <rPr>
        <b/>
        <sz val="14"/>
        <color rgb="FFFF0000"/>
        <rFont val="Tahoma"/>
        <scheme val="minor"/>
      </rPr>
      <t>เตะแค่ 1 นัด ให้เป่ายิ้งฉุบ</t>
    </r>
    <r>
      <rPr>
        <b/>
        <sz val="14"/>
        <color rgb="FF1F4E78"/>
        <rFont val="Tahoma"/>
        <scheme val="minor"/>
      </rPr>
      <t xml:space="preserve"> สุ่มเตะ 2 ทีมเลย</t>
    </r>
  </si>
  <si>
    <t>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</si>
</sst>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Tahoma"/>
      <family val="2"/>
      <scheme val="minor"/>
    </font>
    <font>
      <sz val="14"/>
      <color theme="4" tint="-0.499984740745262"/>
      <name val="Tahoma"/>
      <family val="2"/>
      <scheme val="minor"/>
    </font>
    <font>
      <sz val="14"/>
      <color theme="4" tint="0.39997558519241921"/>
      <name val="Tahoma"/>
      <family val="2"/>
      <scheme val="minor"/>
    </font>
    <font>
      <sz val="14"/>
      <color theme="4" tint="0.59999389629810485"/>
      <name val="Tahoma"/>
      <family val="2"/>
      <scheme val="minor"/>
    </font>
    <font>
      <b/>
      <sz val="14"/>
      <color theme="4" tint="-0.499984740745262"/>
      <name val="Tahoma"/>
      <family val="2"/>
      <scheme val="minor"/>
    </font>
    <font>
      <b/>
      <sz val="14"/>
      <color rgb="FF1F4E78"/>
      <name val="Tahoma"/>
      <scheme val="minor"/>
    </font>
    <font>
      <b/>
      <sz val="14"/>
      <color rgb="FFFF0000"/>
      <name val="Tahoma"/>
      <scheme val="minor"/>
    </font>
    <font>
      <b/>
      <sz val="14"/>
      <color theme="4" tint="-0.499984740745262"/>
      <name val="Tahoma"/>
      <scheme val="minor"/>
    </font>
    <font>
      <sz val="14"/>
      <color theme="4" tint="-0.499984740745262"/>
      <name val="Tahoma"/>
      <family val="2"/>
    </font>
    <font>
      <b/>
      <sz val="14"/>
      <color theme="4" tint="-0.499984740745262"/>
      <name val="Tahoma"/>
      <family val="2"/>
    </font>
    <font>
      <b/>
      <sz val="14"/>
      <color rgb="FF1F4E78"/>
      <name val="Tahoma"/>
      <family val="2"/>
    </font>
    <font>
      <b/>
      <sz val="14"/>
      <color rgb="FFFF0000"/>
      <name val="Tahoma"/>
      <family val="2"/>
    </font>
    <font>
      <sz val="12"/>
      <color theme="4" tint="-0.499984740745262"/>
      <name val="Tahoma"/>
      <family val="2"/>
    </font>
    <font>
      <sz val="12"/>
      <color theme="4" tint="-0.499984740745262"/>
      <name val="Tahoma"/>
    </font>
    <font>
      <sz val="12"/>
      <color theme="1"/>
      <name val="Tahoma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5" borderId="5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3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6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" fontId="1" fillId="6" borderId="0" xfId="0" quotePrefix="1" applyNumberFormat="1" applyFont="1" applyFill="1"/>
    <xf numFmtId="0" fontId="1" fillId="6" borderId="0" xfId="0" quotePrefix="1" applyFont="1" applyFill="1"/>
    <xf numFmtId="0" fontId="1" fillId="0" borderId="0" xfId="0" quotePrefix="1" applyFont="1"/>
    <xf numFmtId="0" fontId="1" fillId="7" borderId="5" xfId="0" applyFont="1" applyFill="1" applyBorder="1"/>
    <xf numFmtId="0" fontId="1" fillId="7" borderId="3" xfId="0" applyFont="1" applyFill="1" applyBorder="1"/>
    <xf numFmtId="0" fontId="4" fillId="6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7" fontId="1" fillId="6" borderId="0" xfId="0" quotePrefix="1" applyNumberFormat="1" applyFont="1" applyFill="1"/>
    <xf numFmtId="1" fontId="1" fillId="0" borderId="0" xfId="0" quotePrefix="1" applyNumberFormat="1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49" fontId="1" fillId="6" borderId="0" xfId="0" quotePrefix="1" applyNumberFormat="1" applyFont="1" applyFill="1"/>
    <xf numFmtId="1" fontId="1" fillId="0" borderId="0" xfId="0" applyNumberFormat="1" applyFont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/>
    </xf>
    <xf numFmtId="0" fontId="8" fillId="3" borderId="5" xfId="0" applyFont="1" applyFill="1" applyBorder="1" applyAlignment="1">
      <alignment horizontal="center" vertical="top"/>
    </xf>
    <xf numFmtId="0" fontId="9" fillId="6" borderId="0" xfId="0" applyFont="1" applyFill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2" fillId="0" borderId="0" xfId="0" applyFont="1"/>
    <xf numFmtId="0" fontId="1" fillId="0" borderId="0" xfId="0" applyFont="1" applyAlignment="1">
      <alignment wrapText="1"/>
    </xf>
    <xf numFmtId="0" fontId="13" fillId="6" borderId="0" xfId="0" applyFont="1" applyFill="1"/>
    <xf numFmtId="49" fontId="13" fillId="8" borderId="0" xfId="0" applyNumberFormat="1" applyFont="1" applyFill="1" applyAlignment="1">
      <alignment horizontal="center" vertical="center"/>
    </xf>
    <xf numFmtId="49" fontId="13" fillId="0" borderId="0" xfId="0" quotePrefix="1" applyNumberFormat="1" applyFont="1"/>
    <xf numFmtId="49" fontId="13" fillId="6" borderId="0" xfId="0" applyNumberFormat="1" applyFont="1" applyFill="1"/>
    <xf numFmtId="49" fontId="13" fillId="0" borderId="0" xfId="0" applyNumberFormat="1" applyFont="1"/>
    <xf numFmtId="49" fontId="13" fillId="6" borderId="0" xfId="0" quotePrefix="1" applyNumberFormat="1" applyFont="1" applyFill="1"/>
    <xf numFmtId="0" fontId="13" fillId="0" borderId="0" xfId="0" applyFont="1"/>
    <xf numFmtId="49" fontId="14" fillId="0" borderId="0" xfId="0" quotePrefix="1" applyNumberFormat="1" applyFont="1"/>
    <xf numFmtId="0" fontId="1" fillId="9" borderId="1" xfId="0" applyFont="1" applyFill="1" applyBorder="1" applyAlignment="1">
      <alignment horizontal="center" vertical="center"/>
    </xf>
    <xf numFmtId="16" fontId="1" fillId="0" borderId="0" xfId="0" applyNumberFormat="1" applyFont="1"/>
    <xf numFmtId="0" fontId="8" fillId="0" borderId="9" xfId="0" applyFont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Calibri"/>
        <family val="2"/>
        <scheme val="minor"/>
      </font>
      <numFmt numFmtId="21" formatCode="d\-mmm"/>
      <fill>
        <patternFill patternType="solid">
          <fgColor indexed="64"/>
          <bgColor theme="0"/>
        </patternFill>
      </fill>
    </dxf>
    <dxf>
      <font>
        <strike val="0"/>
        <color theme="0"/>
      </font>
      <fill>
        <patternFill>
          <fgColor theme="0"/>
          <bgColor theme="0"/>
        </patternFill>
      </fill>
    </dxf>
    <dxf>
      <font>
        <strike val="0"/>
        <color rgb="FFFF0000"/>
      </font>
      <fill>
        <patternFill>
          <fgColor rgb="FFFF0000"/>
          <bgColor rgb="FFFF0000"/>
        </patternFill>
      </fill>
    </dxf>
    <dxf>
      <font>
        <strike val="0"/>
        <color theme="4" tint="-0.24994659260841701"/>
      </font>
      <fill>
        <patternFill>
          <fgColor theme="4" tint="-0.24994659260841701"/>
          <bgColor theme="4" tint="-0.24994659260841701"/>
        </patternFill>
      </fill>
    </dxf>
    <dxf>
      <font>
        <strike val="0"/>
        <color rgb="FFFFFF00"/>
      </font>
      <fill>
        <patternFill>
          <fgColor theme="7" tint="0.59996337778862885"/>
          <bgColor rgb="FFFFFF00"/>
        </patternFill>
      </fill>
    </dxf>
    <dxf>
      <font>
        <strike val="0"/>
        <color theme="1" tint="0.24994659260841701"/>
      </font>
      <fill>
        <patternFill>
          <fgColor theme="1" tint="0.24994659260841701"/>
          <bgColor theme="1" tint="0.24994659260841701"/>
        </patternFill>
      </fill>
    </dxf>
    <dxf>
      <font>
        <strike val="0"/>
        <color rgb="FF92D050"/>
      </font>
      <fill>
        <patternFill>
          <fgColor rgb="FF92D050"/>
          <bgColor rgb="FF92D050"/>
        </patternFill>
      </fill>
    </dxf>
    <dxf>
      <font>
        <strike val="0"/>
        <color rgb="FFA568D2"/>
      </font>
      <fill>
        <patternFill>
          <fgColor theme="0"/>
          <bgColor rgb="FFA568D2"/>
        </patternFill>
      </fill>
    </dxf>
    <dxf>
      <font>
        <strike val="0"/>
        <color rgb="FFFFC000"/>
      </font>
      <fill>
        <patternFill>
          <fgColor theme="0"/>
          <bgColor rgb="FFFFC000"/>
        </patternFill>
      </fill>
    </dxf>
    <dxf>
      <font>
        <strike val="0"/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A56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7F61A-9DAB-4375-8D64-DBFC895F3EE4}" name="Table1" displayName="Table1" ref="A3:A11" totalsRowShown="0" headerRowDxfId="2" dataDxfId="1">
  <autoFilter ref="A3:A11" xr:uid="{F637F61A-9DAB-4375-8D64-DBFC895F3EE4}"/>
  <tableColumns count="1">
    <tableColumn id="1" xr3:uid="{1CF0D45E-ADD8-4560-B7D9-95056D1908CB}" name="0-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25"/>
  <sheetViews>
    <sheetView tabSelected="1" workbookViewId="0">
      <selection activeCell="G8" sqref="G8"/>
    </sheetView>
  </sheetViews>
  <sheetFormatPr defaultColWidth="8.875" defaultRowHeight="18"/>
  <cols>
    <col min="1" max="2" width="8.875" style="3"/>
    <col min="3" max="4" width="8.875" style="20"/>
    <col min="5" max="5" width="9.75" style="3" bestFit="1" customWidth="1"/>
    <col min="6" max="6" width="8.875" style="3"/>
    <col min="7" max="7" width="9.625" style="58" bestFit="1" customWidth="1"/>
    <col min="8" max="8" width="6" style="3" hidden="1" customWidth="1"/>
    <col min="9" max="16" width="8.875" style="3"/>
    <col min="17" max="17" width="11.625" style="3" bestFit="1" customWidth="1"/>
    <col min="18" max="18" width="14" style="3" bestFit="1" customWidth="1"/>
    <col min="19" max="16384" width="8.875" style="3"/>
  </cols>
  <sheetData>
    <row r="2" spans="2:22">
      <c r="B2" s="1"/>
      <c r="C2" s="41" t="s">
        <v>0</v>
      </c>
      <c r="D2" s="2"/>
      <c r="E2" s="1"/>
      <c r="F2" s="1"/>
      <c r="G2" s="52"/>
      <c r="N2" s="62" t="s">
        <v>1</v>
      </c>
      <c r="O2" s="62"/>
      <c r="P2" s="62"/>
      <c r="Q2" s="62"/>
      <c r="R2" s="42" t="s">
        <v>2</v>
      </c>
      <c r="S2" s="42"/>
    </row>
    <row r="3" spans="2:22">
      <c r="B3" s="1"/>
      <c r="C3" s="37" t="s">
        <v>3</v>
      </c>
      <c r="D3" s="38" t="s">
        <v>4</v>
      </c>
      <c r="E3" s="39" t="s">
        <v>5</v>
      </c>
      <c r="F3" s="40" t="s">
        <v>6</v>
      </c>
      <c r="G3" s="53" t="s">
        <v>7</v>
      </c>
      <c r="H3" s="3" t="s">
        <v>8</v>
      </c>
      <c r="I3" s="36" t="str">
        <f>IF(NOT($N$4=""),$N$4,$N$3)</f>
        <v>White</v>
      </c>
      <c r="J3" s="35" t="str">
        <f>IF(NOT($O$4=""),$O$4,$O$3)</f>
        <v>Red</v>
      </c>
      <c r="K3" s="60" t="str">
        <f>IF(NOT($P$4=""),$P$4,$P$3)</f>
        <v>Yellow</v>
      </c>
      <c r="L3" s="35" t="str">
        <f>IF(NOT($Q$4=""),$Q$4,$Q$3)</f>
        <v>Blue</v>
      </c>
      <c r="N3" s="44" t="s">
        <v>9</v>
      </c>
      <c r="O3" s="45" t="s">
        <v>10</v>
      </c>
      <c r="P3" s="45" t="s">
        <v>11</v>
      </c>
      <c r="Q3" s="46" t="s">
        <v>12</v>
      </c>
      <c r="R3" s="42" t="s">
        <v>13</v>
      </c>
      <c r="S3" s="42">
        <v>3</v>
      </c>
      <c r="U3" s="61"/>
    </row>
    <row r="4" spans="2:22">
      <c r="B4" s="1"/>
      <c r="C4" s="8"/>
      <c r="D4" s="9">
        <v>1</v>
      </c>
      <c r="E4" s="36" t="str">
        <f>IF(NOT($N$4=""),$N$4,$N$3)</f>
        <v>White</v>
      </c>
      <c r="F4" s="35" t="str">
        <f>IF(NOT($O$4=""),$O$4,$O$3)</f>
        <v>Red</v>
      </c>
      <c r="G4" s="59"/>
      <c r="H4" s="29" t="str">
        <f t="shared" ref="H4:H17" si="0">IF(LEN(G4)&gt;0,VALUE(MID(G4,1,1))-VALUE(MID(G4,3,1)),"XX")</f>
        <v>XX</v>
      </c>
      <c r="I4" s="30" t="str">
        <f>IF(H4="XX","",IF(H4=0,1,IF(H4&gt;0,3,0)))</f>
        <v/>
      </c>
      <c r="J4" s="3" t="str">
        <f>IF(H4="XX","",IF(H4=0,1,IF(H4&gt;0,0,3)))</f>
        <v/>
      </c>
      <c r="N4" s="47" t="s">
        <v>14</v>
      </c>
      <c r="O4" s="48" t="s">
        <v>15</v>
      </c>
      <c r="P4" s="48" t="s">
        <v>16</v>
      </c>
      <c r="Q4" s="49" t="s">
        <v>17</v>
      </c>
      <c r="R4" s="42" t="s">
        <v>18</v>
      </c>
      <c r="S4" s="42">
        <v>2</v>
      </c>
      <c r="T4" s="61"/>
      <c r="V4" s="3" t="s">
        <v>19</v>
      </c>
    </row>
    <row r="5" spans="2:22">
      <c r="B5" s="1"/>
      <c r="C5" s="8"/>
      <c r="D5" s="9">
        <v>2</v>
      </c>
      <c r="E5" s="36" t="str">
        <f>IF(NOT($P$4=""),$P$4,$P$3)</f>
        <v>Yellow</v>
      </c>
      <c r="F5" s="35" t="str">
        <f>IF(NOT($Q$4=""),$Q$4,$Q$3)</f>
        <v>Blue</v>
      </c>
      <c r="G5" s="59"/>
      <c r="H5" s="29" t="str">
        <f t="shared" si="0"/>
        <v>XX</v>
      </c>
      <c r="I5" s="30"/>
      <c r="K5" s="3" t="str">
        <f>IF(H5="XX","",IF($H5=0,1,IF($H5&gt;0,3,0)))</f>
        <v/>
      </c>
      <c r="L5" s="3" t="str">
        <f>IF(H5="XX","",IF($H5=0,1,IF($H5&gt;0,0,3)))</f>
        <v/>
      </c>
      <c r="R5" s="42" t="s">
        <v>20</v>
      </c>
      <c r="S5" s="42">
        <v>2</v>
      </c>
    </row>
    <row r="6" spans="2:22">
      <c r="B6" s="1"/>
      <c r="C6" s="8"/>
      <c r="D6" s="9">
        <v>3</v>
      </c>
      <c r="E6" s="36" t="str">
        <f>IF(NOT($N$4=""),$N$4,$N$3)</f>
        <v>White</v>
      </c>
      <c r="F6" s="35" t="str">
        <f>IF(NOT($Q$4=""),$Q$4,$Q$3)</f>
        <v>Blue</v>
      </c>
      <c r="G6" s="59"/>
      <c r="H6" s="34" t="str">
        <f t="shared" si="0"/>
        <v>XX</v>
      </c>
      <c r="I6" s="30" t="str">
        <f>IF(H6="XX","",IF($H6=0,1,IF($H6&gt;0,3,0)))</f>
        <v/>
      </c>
      <c r="L6" s="3" t="str">
        <f>IF(H6="XX","",IF($H6=0,1,IF($H6&gt;0,0,3)))</f>
        <v/>
      </c>
      <c r="N6" s="50" t="s">
        <v>21</v>
      </c>
      <c r="O6" s="3" t="s">
        <v>14</v>
      </c>
      <c r="R6" s="42" t="s">
        <v>22</v>
      </c>
      <c r="S6" s="42">
        <v>2</v>
      </c>
    </row>
    <row r="7" spans="2:22">
      <c r="B7" s="1"/>
      <c r="C7" s="13"/>
      <c r="D7" s="14">
        <v>4</v>
      </c>
      <c r="E7" s="36" t="str">
        <f>IF(NOT($P$4=""),$P$4,$P$3)</f>
        <v>Yellow</v>
      </c>
      <c r="F7" s="35" t="str">
        <f>IF(NOT($O$4=""),$O$4,$O$3)</f>
        <v>Red</v>
      </c>
      <c r="G7" s="59"/>
      <c r="H7" s="34" t="str">
        <f t="shared" si="0"/>
        <v>XX</v>
      </c>
      <c r="I7" s="30"/>
      <c r="J7" s="3" t="str">
        <f>IF(H7="XX","",IF($H7=0,1,IF($H7&gt;0,0,3)))</f>
        <v/>
      </c>
      <c r="K7" s="3" t="str">
        <f>IF(H7="XX","",IF($H7=0,1,IF($H7&gt;0,3,0)))</f>
        <v/>
      </c>
      <c r="O7" s="3" t="s">
        <v>15</v>
      </c>
      <c r="R7" s="42" t="s">
        <v>23</v>
      </c>
      <c r="S7" s="42">
        <v>2</v>
      </c>
    </row>
    <row r="8" spans="2:22">
      <c r="B8" s="1"/>
      <c r="C8" s="8"/>
      <c r="D8" s="9">
        <v>5</v>
      </c>
      <c r="E8" s="36" t="str">
        <f>IF(NOT($N$4=""),$N$4,$N$3)</f>
        <v>White</v>
      </c>
      <c r="F8" s="36" t="str">
        <f>IF(NOT($P$4=""),$P$4,$P$3)</f>
        <v>Yellow</v>
      </c>
      <c r="G8" s="59"/>
      <c r="H8" s="34" t="str">
        <f t="shared" si="0"/>
        <v>XX</v>
      </c>
      <c r="I8" s="30" t="str">
        <f>IF(H8="XX","",IF($H8=0,1,IF($H8&gt;0,3,0)))</f>
        <v/>
      </c>
      <c r="K8" s="3" t="str">
        <f>IF(H8="XX","",IF($H8=0,1,IF($H8&gt;0,0,3)))</f>
        <v/>
      </c>
      <c r="O8" s="3" t="s">
        <v>16</v>
      </c>
      <c r="R8" s="42" t="s">
        <v>24</v>
      </c>
      <c r="S8" s="42">
        <v>3</v>
      </c>
    </row>
    <row r="9" spans="2:22">
      <c r="B9" s="1"/>
      <c r="C9" s="8"/>
      <c r="D9" s="9">
        <v>6</v>
      </c>
      <c r="E9" s="35" t="str">
        <f>IF(NOT($O$4=""),$O$4,$O$3)</f>
        <v>Red</v>
      </c>
      <c r="F9" s="35" t="str">
        <f>IF(NOT($Q$4=""),$Q$4,$Q$3)</f>
        <v>Blue</v>
      </c>
      <c r="G9" s="59"/>
      <c r="H9" s="34" t="str">
        <f t="shared" si="0"/>
        <v>XX</v>
      </c>
      <c r="I9" s="30"/>
      <c r="J9" s="3" t="str">
        <f>IF(H9="XX","",IF($H9=0,1,IF($H9&gt;0,3,0)))</f>
        <v/>
      </c>
      <c r="L9" s="3" t="str">
        <f>IF(H9="XX","",IF($H9=0,1,IF($H9&gt;0,0,3)))</f>
        <v/>
      </c>
      <c r="O9" s="3" t="s">
        <v>17</v>
      </c>
    </row>
    <row r="10" spans="2:22">
      <c r="B10" s="1"/>
      <c r="C10" s="8"/>
      <c r="D10" s="9">
        <v>7</v>
      </c>
      <c r="E10" s="36" t="str">
        <f>IF(NOT($N$4=""),$N$4,$N$3)</f>
        <v>White</v>
      </c>
      <c r="F10" s="35" t="str">
        <f>IF(NOT($O$4=""),$O$4,$O$3)</f>
        <v>Red</v>
      </c>
      <c r="G10" s="59"/>
      <c r="H10" s="34" t="str">
        <f t="shared" si="0"/>
        <v>XX</v>
      </c>
      <c r="I10" s="30" t="str">
        <f>IF(H10="XX","",IF($H10=0,1,IF($H10&gt;0,3,0)))</f>
        <v/>
      </c>
      <c r="J10" s="3" t="str">
        <f>IF(H10="XX","",IF($H10=0,1,IF($H10&gt;0,0,3)))</f>
        <v/>
      </c>
      <c r="O10" s="3" t="s">
        <v>25</v>
      </c>
    </row>
    <row r="11" spans="2:22">
      <c r="B11" s="1"/>
      <c r="C11" s="8"/>
      <c r="D11" s="9">
        <v>8</v>
      </c>
      <c r="E11" s="36" t="str">
        <f>IF(NOT($P$4=""),$P$4,$P$3)</f>
        <v>Yellow</v>
      </c>
      <c r="F11" s="35" t="str">
        <f>IF(NOT($Q$4=""),$Q$4,$Q$3)</f>
        <v>Blue</v>
      </c>
      <c r="G11" s="59"/>
      <c r="H11" s="34" t="str">
        <f t="shared" si="0"/>
        <v>XX</v>
      </c>
      <c r="I11" s="30"/>
      <c r="K11" s="3" t="str">
        <f>IF(H11="XX","",IF($H11=0,1,IF($H11&gt;0,3,0)))</f>
        <v/>
      </c>
      <c r="L11" s="3" t="str">
        <f>IF(H11="XX","",IF($H11=0,1,IF($H11&gt;0,0,3)))</f>
        <v/>
      </c>
      <c r="O11" s="3" t="s">
        <v>26</v>
      </c>
    </row>
    <row r="12" spans="2:22">
      <c r="B12" s="1"/>
      <c r="C12" s="8"/>
      <c r="D12" s="9">
        <v>9</v>
      </c>
      <c r="E12" s="36" t="str">
        <f>IF(NOT($N$4=""),$N$4,$N$3)</f>
        <v>White</v>
      </c>
      <c r="F12" s="35" t="str">
        <f>IF(NOT($Q$4=""),$Q$4,$Q$3)</f>
        <v>Blue</v>
      </c>
      <c r="G12" s="59"/>
      <c r="H12" s="34" t="str">
        <f t="shared" si="0"/>
        <v>XX</v>
      </c>
      <c r="I12" s="30"/>
      <c r="L12" s="3" t="str">
        <f>IF(H12="XX","",IF($H12=0,1,IF($H12&gt;0,0,3)))</f>
        <v/>
      </c>
      <c r="O12" s="3" t="s">
        <v>27</v>
      </c>
    </row>
    <row r="13" spans="2:22">
      <c r="B13" s="1"/>
      <c r="C13" s="8"/>
      <c r="D13" s="9">
        <v>10</v>
      </c>
      <c r="E13" s="36" t="str">
        <f>IF(NOT($P$4=""),$P$4,$P$3)</f>
        <v>Yellow</v>
      </c>
      <c r="F13" s="35" t="str">
        <f>IF(NOT($O$4=""),$O$4,$O$3)</f>
        <v>Red</v>
      </c>
      <c r="G13" s="59"/>
      <c r="H13" s="34" t="str">
        <f t="shared" si="0"/>
        <v>XX</v>
      </c>
      <c r="I13" s="30"/>
      <c r="J13" s="3" t="str">
        <f>IF(H13="XX","",IF($H13=0,1,IF($H13&gt;0,0,3)))</f>
        <v/>
      </c>
      <c r="K13" s="3" t="str">
        <f>IF(H13="XX","",IF($H13=0,1,IF($H13&gt;0,3,0)))</f>
        <v/>
      </c>
      <c r="O13" s="3" t="s">
        <v>28</v>
      </c>
    </row>
    <row r="14" spans="2:22">
      <c r="B14" s="1"/>
      <c r="C14" s="8"/>
      <c r="D14" s="9">
        <v>11</v>
      </c>
      <c r="E14" s="36" t="str">
        <f>IF(NOT($N$4=""),$N$4,$N$3)</f>
        <v>White</v>
      </c>
      <c r="F14" s="36" t="str">
        <f>IF(NOT($P$4=""),$P$4,$P$3)</f>
        <v>Yellow</v>
      </c>
      <c r="G14" s="59"/>
      <c r="H14" s="34" t="str">
        <f t="shared" si="0"/>
        <v>XX</v>
      </c>
      <c r="I14" s="30" t="str">
        <f>IF(H14="XX","",IF($H14=0,1,IF($H14&gt;0,3,0)))</f>
        <v/>
      </c>
      <c r="K14" s="3" t="str">
        <f>IF(H14="XX","",IF($H14=0,1,IF($H14&gt;0,0,3)))</f>
        <v/>
      </c>
    </row>
    <row r="15" spans="2:22">
      <c r="B15" s="1"/>
      <c r="C15" s="8"/>
      <c r="D15" s="9">
        <v>12</v>
      </c>
      <c r="E15" s="35" t="str">
        <f>IF(NOT($O$4=""),$O$4,$O$3)</f>
        <v>Red</v>
      </c>
      <c r="F15" s="35" t="str">
        <f>IF(NOT($Q$4=""),$Q$4,$Q$3)</f>
        <v>Blue</v>
      </c>
      <c r="G15" s="59"/>
      <c r="H15" s="34" t="str">
        <f t="shared" si="0"/>
        <v>XX</v>
      </c>
      <c r="I15" s="30"/>
      <c r="J15" s="3" t="str">
        <f>IF(H15="XX","",IF($H15=0,1,IF($H15&gt;0,3,0)))</f>
        <v/>
      </c>
      <c r="L15" s="3" t="str">
        <f>IF(H15="XX","",IF($H15=0,1,IF($H15&gt;0,0,3)))</f>
        <v/>
      </c>
    </row>
    <row r="16" spans="2:22">
      <c r="B16" s="1"/>
      <c r="C16" s="8"/>
      <c r="D16" s="9">
        <v>13</v>
      </c>
      <c r="E16" s="36" t="str">
        <f>IF(NOT($N$4=""),$N$4,$N$3)</f>
        <v>White</v>
      </c>
      <c r="F16" s="35" t="str">
        <f>IF(NOT($O$4=""),$O$4,$O$3)</f>
        <v>Red</v>
      </c>
      <c r="G16" s="54"/>
      <c r="H16" s="34" t="str">
        <f t="shared" si="0"/>
        <v>XX</v>
      </c>
      <c r="I16" s="30" t="str">
        <f>IF(H16="XX","",IF($H16=0,1,IF($H16&gt;0,3,0)))</f>
        <v/>
      </c>
      <c r="J16" s="3" t="str">
        <f>IF(H16="XX","",IF($H16=0,1,IF($H16&gt;0,0,3)))</f>
        <v/>
      </c>
    </row>
    <row r="17" spans="2:12">
      <c r="B17" s="1"/>
      <c r="C17" s="8"/>
      <c r="D17" s="14">
        <v>14</v>
      </c>
      <c r="E17" s="36" t="str">
        <f>IF(NOT($P$4=""),$P$4,$P$3)</f>
        <v>Yellow</v>
      </c>
      <c r="F17" s="35" t="str">
        <f>IF(NOT($Q$4=""),$Q$4,$Q$3)</f>
        <v>Blue</v>
      </c>
      <c r="G17" s="54"/>
      <c r="H17" s="34" t="str">
        <f t="shared" si="0"/>
        <v>XX</v>
      </c>
      <c r="I17" s="30"/>
      <c r="K17" s="3" t="str">
        <f>IF(H17="XX","",IF($H17=0,1,IF($H17&gt;0,3,0)))</f>
        <v/>
      </c>
      <c r="L17" s="3" t="str">
        <f>IF(H17="XX","",IF($H17=0,1,IF($H17&gt;0,0,3)))</f>
        <v/>
      </c>
    </row>
    <row r="18" spans="2:12">
      <c r="B18" s="1"/>
      <c r="C18" s="2"/>
      <c r="D18" s="19"/>
      <c r="E18" s="1"/>
      <c r="F18" s="1"/>
      <c r="G18" s="55"/>
    </row>
    <row r="19" spans="2:12">
      <c r="C19" s="43" t="s">
        <v>29</v>
      </c>
      <c r="G19" s="56"/>
    </row>
    <row r="20" spans="2:12">
      <c r="C20" s="8"/>
      <c r="D20" s="9">
        <v>15</v>
      </c>
      <c r="E20" s="36" t="str">
        <f>IF(NOT($N$4=""),$N$4,$N$3)</f>
        <v>White</v>
      </c>
      <c r="F20" s="35" t="str">
        <f>IF(NOT($Q$4=""),$Q$4,$Q$3)</f>
        <v>Blue</v>
      </c>
      <c r="G20" s="57"/>
      <c r="H20" s="29" t="str">
        <f>IF(LEN(G20)&gt;0,VALUE(MID(G20,1,1))-VALUE(MID(G20,3,1)),"XX")</f>
        <v>XX</v>
      </c>
      <c r="I20" s="30" t="str">
        <f>IF(H20="XX","",IF($H20=0,1,IF($H20&gt;0,3,0)))</f>
        <v/>
      </c>
      <c r="L20" s="3" t="str">
        <f>IF(H20="XX","",IF($H20=0,1,IF($H20&gt;0,0,3)))</f>
        <v/>
      </c>
    </row>
    <row r="21" spans="2:12">
      <c r="C21" s="13"/>
      <c r="D21" s="14">
        <v>16</v>
      </c>
      <c r="E21" s="36" t="str">
        <f>IF(NOT($P$4=""),$P$4,$P$3)</f>
        <v>Yellow</v>
      </c>
      <c r="F21" s="35" t="str">
        <f>IF(NOT($O$4=""),$O$4,$O$3)</f>
        <v>Red</v>
      </c>
      <c r="G21" s="57"/>
      <c r="H21" s="29" t="str">
        <f>IF(LEN(G21)&gt;0,VALUE(MID(G21,1,1))-VALUE(MID(G21,3,1)),"XX")</f>
        <v>XX</v>
      </c>
      <c r="I21" s="31"/>
      <c r="J21" s="32" t="str">
        <f>IF(H21="XX","",IF($H21=0,1,IF($H21&gt;0,0,3)))</f>
        <v/>
      </c>
      <c r="K21" s="32" t="str">
        <f>IF(H21="XX","",IF($H21=0,1,IF($H21&gt;0,3,0)))</f>
        <v/>
      </c>
      <c r="L21" s="32"/>
    </row>
    <row r="22" spans="2:12">
      <c r="C22" s="20" t="s">
        <v>30</v>
      </c>
      <c r="I22" s="30">
        <f>SUM(I4:I21)</f>
        <v>0</v>
      </c>
      <c r="J22" s="3">
        <f t="shared" ref="J22:L22" si="1">SUM(J4:J21)</f>
        <v>0</v>
      </c>
      <c r="K22" s="3">
        <f t="shared" si="1"/>
        <v>0</v>
      </c>
      <c r="L22" s="3">
        <f t="shared" si="1"/>
        <v>0</v>
      </c>
    </row>
    <row r="25" spans="2:12">
      <c r="I25" s="51"/>
    </row>
  </sheetData>
  <mergeCells count="1">
    <mergeCell ref="N2:Q2"/>
  </mergeCells>
  <conditionalFormatting sqref="E4 E6 E8 E10 E12 E14 E16 E20">
    <cfRule type="cellIs" dxfId="11" priority="8" operator="equal">
      <formula>"White"</formula>
    </cfRule>
  </conditionalFormatting>
  <conditionalFormatting sqref="I3:L3 E4:F17 E20:F21">
    <cfRule type="cellIs" dxfId="10" priority="1" operator="equal">
      <formula>"Orange"</formula>
    </cfRule>
    <cfRule type="cellIs" dxfId="9" priority="2" operator="equal">
      <formula>"Purple"</formula>
    </cfRule>
    <cfRule type="cellIs" dxfId="8" priority="3" operator="equal">
      <formula>"Green"</formula>
    </cfRule>
    <cfRule type="cellIs" dxfId="7" priority="4" operator="equal">
      <formula>"Black"</formula>
    </cfRule>
    <cfRule type="cellIs" dxfId="6" priority="5" operator="equal">
      <formula>"Yellow"</formula>
    </cfRule>
    <cfRule type="cellIs" dxfId="5" priority="6" operator="equal">
      <formula>"Blue"</formula>
    </cfRule>
    <cfRule type="cellIs" dxfId="4" priority="7" operator="equal">
      <formula>"Red"</formula>
    </cfRule>
    <cfRule type="cellIs" dxfId="3" priority="9" operator="equal">
      <formula>"White"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4767-0BB3-4DAC-8619-B47345FC8B5A}">
  <dimension ref="B2:L22"/>
  <sheetViews>
    <sheetView workbookViewId="0">
      <selection activeCell="I6" sqref="I6"/>
    </sheetView>
  </sheetViews>
  <sheetFormatPr defaultColWidth="8.875" defaultRowHeight="18"/>
  <cols>
    <col min="1" max="2" width="8.875" style="3"/>
    <col min="3" max="4" width="8.875" style="20"/>
    <col min="5" max="6" width="8.875" style="3"/>
    <col min="7" max="7" width="9" style="3" bestFit="1" customWidth="1"/>
    <col min="8" max="8" width="12.875" style="3" hidden="1" customWidth="1"/>
    <col min="9" max="16384" width="8.875" style="3"/>
  </cols>
  <sheetData>
    <row r="2" spans="2:12">
      <c r="B2" s="1"/>
      <c r="C2" s="26" t="s">
        <v>0</v>
      </c>
      <c r="D2" s="2"/>
      <c r="E2" s="1"/>
      <c r="F2" s="1"/>
      <c r="G2" s="1"/>
    </row>
    <row r="3" spans="2:12">
      <c r="B3" s="1"/>
      <c r="C3" s="4" t="s">
        <v>3</v>
      </c>
      <c r="D3" s="5" t="s">
        <v>4</v>
      </c>
      <c r="E3" s="6" t="s">
        <v>5</v>
      </c>
      <c r="F3" s="7" t="s">
        <v>6</v>
      </c>
      <c r="G3" s="1"/>
      <c r="H3" s="3" t="s">
        <v>8</v>
      </c>
      <c r="I3" s="3" t="s">
        <v>31</v>
      </c>
      <c r="J3" s="3" t="s">
        <v>32</v>
      </c>
      <c r="K3" s="3" t="s">
        <v>33</v>
      </c>
      <c r="L3" s="3" t="s">
        <v>34</v>
      </c>
    </row>
    <row r="4" spans="2:12">
      <c r="B4" s="1"/>
      <c r="C4" s="8" t="s">
        <v>35</v>
      </c>
      <c r="D4" s="9">
        <v>1</v>
      </c>
      <c r="E4" s="10" t="s">
        <v>36</v>
      </c>
      <c r="F4" s="11"/>
      <c r="G4" s="22" t="s">
        <v>37</v>
      </c>
      <c r="H4" s="29">
        <f>VALUE(MID(G4,1,1))-VALUE(MID(G4,3,1))</f>
        <v>-2</v>
      </c>
      <c r="I4" s="3">
        <f>IF(H4=0,1,IF(H4&gt;0,3,0))</f>
        <v>0</v>
      </c>
      <c r="J4" s="3">
        <f>IF(H4=0,1,IF(H4&gt;0,0,3))</f>
        <v>3</v>
      </c>
    </row>
    <row r="5" spans="2:12">
      <c r="B5" s="1"/>
      <c r="C5" s="8" t="s">
        <v>35</v>
      </c>
      <c r="D5" s="9">
        <v>2</v>
      </c>
      <c r="E5" s="12" t="s">
        <v>38</v>
      </c>
      <c r="F5" s="24"/>
      <c r="G5" s="28" t="s">
        <v>39</v>
      </c>
      <c r="H5" s="29">
        <f t="shared" ref="H5:H17" si="0">VALUE(MID(G5,1,1))-VALUE(MID(G5,3,1))</f>
        <v>0</v>
      </c>
      <c r="K5" s="3">
        <f>IF($H5=0,1,IF($H5&gt;0,3,0))</f>
        <v>1</v>
      </c>
      <c r="L5" s="3">
        <f>IF($H5=0,1,IF($H5&gt;0,0,3))</f>
        <v>1</v>
      </c>
    </row>
    <row r="6" spans="2:12">
      <c r="B6" s="1"/>
      <c r="C6" s="8" t="s">
        <v>40</v>
      </c>
      <c r="D6" s="9">
        <v>3</v>
      </c>
      <c r="E6" s="10" t="s">
        <v>36</v>
      </c>
      <c r="F6" s="24"/>
      <c r="G6" s="21" t="s">
        <v>41</v>
      </c>
      <c r="H6" s="29">
        <f t="shared" si="0"/>
        <v>1</v>
      </c>
      <c r="I6" s="3">
        <f>IF($H6=0,1,IF($H6&gt;0,3,0))</f>
        <v>3</v>
      </c>
      <c r="L6" s="3">
        <f>IF($H6=0,1,IF($H6&gt;0,0,3))</f>
        <v>0</v>
      </c>
    </row>
    <row r="7" spans="2:12">
      <c r="B7" s="1"/>
      <c r="C7" s="13" t="s">
        <v>42</v>
      </c>
      <c r="D7" s="14">
        <v>4</v>
      </c>
      <c r="E7" s="15" t="s">
        <v>38</v>
      </c>
      <c r="F7" s="16"/>
      <c r="G7" s="21" t="s">
        <v>43</v>
      </c>
      <c r="H7" s="29">
        <f t="shared" si="0"/>
        <v>0</v>
      </c>
      <c r="J7" s="3">
        <f>IF($H7=0,1,IF($H7&gt;0,0,3))</f>
        <v>1</v>
      </c>
      <c r="K7" s="3">
        <f>IF($H7=0,1,IF($H7&gt;0,3,0))</f>
        <v>1</v>
      </c>
    </row>
    <row r="8" spans="2:12">
      <c r="B8" s="1"/>
      <c r="C8" s="8" t="s">
        <v>35</v>
      </c>
      <c r="D8" s="9">
        <v>5</v>
      </c>
      <c r="E8" s="10" t="s">
        <v>36</v>
      </c>
      <c r="F8" s="17" t="s">
        <v>38</v>
      </c>
      <c r="G8" s="28" t="s">
        <v>44</v>
      </c>
      <c r="H8" s="29">
        <f t="shared" si="0"/>
        <v>-1</v>
      </c>
      <c r="I8" s="3">
        <f>IF($H8=0,1,IF($H8&gt;0,3,0))</f>
        <v>0</v>
      </c>
      <c r="K8" s="3">
        <f>IF($H8=0,1,IF($H8&gt;0,0,3))</f>
        <v>3</v>
      </c>
    </row>
    <row r="9" spans="2:12">
      <c r="B9" s="1"/>
      <c r="C9" s="8" t="s">
        <v>35</v>
      </c>
      <c r="D9" s="9">
        <v>6</v>
      </c>
      <c r="E9" s="18"/>
      <c r="F9" s="24"/>
      <c r="G9" s="22" t="s">
        <v>37</v>
      </c>
      <c r="H9" s="29">
        <f t="shared" si="0"/>
        <v>-2</v>
      </c>
      <c r="J9" s="3">
        <f>IF($H9=0,1,IF($H9&gt;0,3,0))</f>
        <v>0</v>
      </c>
      <c r="L9" s="3">
        <f>IF($H9=0,1,IF($H9&gt;0,0,3))</f>
        <v>3</v>
      </c>
    </row>
    <row r="10" spans="2:12">
      <c r="B10" s="1"/>
      <c r="C10" s="8" t="s">
        <v>35</v>
      </c>
      <c r="D10" s="9">
        <v>7</v>
      </c>
      <c r="E10" s="10" t="s">
        <v>36</v>
      </c>
      <c r="F10" s="11"/>
      <c r="G10" s="22" t="s">
        <v>45</v>
      </c>
      <c r="H10" s="29">
        <f t="shared" si="0"/>
        <v>1</v>
      </c>
      <c r="I10" s="3">
        <f>IF($H10=0,1,IF($H10&gt;0,3,0))</f>
        <v>3</v>
      </c>
      <c r="J10" s="3">
        <f>IF($H10=0,1,IF($H10&gt;0,0,3))</f>
        <v>0</v>
      </c>
    </row>
    <row r="11" spans="2:12">
      <c r="B11" s="1"/>
      <c r="C11" s="8" t="s">
        <v>35</v>
      </c>
      <c r="D11" s="9">
        <v>8</v>
      </c>
      <c r="E11" s="12" t="s">
        <v>38</v>
      </c>
      <c r="F11" s="24"/>
      <c r="G11" s="28" t="s">
        <v>44</v>
      </c>
      <c r="H11" s="29">
        <f t="shared" si="0"/>
        <v>-1</v>
      </c>
      <c r="K11" s="3">
        <f>IF($H11=0,1,IF($H11&gt;0,3,0))</f>
        <v>0</v>
      </c>
      <c r="L11" s="3">
        <f>IF($H11=0,1,IF($H11&gt;0,0,3))</f>
        <v>3</v>
      </c>
    </row>
    <row r="12" spans="2:12">
      <c r="B12" s="1"/>
      <c r="C12" s="8" t="s">
        <v>35</v>
      </c>
      <c r="D12" s="9">
        <v>9</v>
      </c>
      <c r="E12" s="10" t="s">
        <v>36</v>
      </c>
      <c r="F12" s="24"/>
      <c r="G12" s="22" t="s">
        <v>46</v>
      </c>
      <c r="H12" s="29">
        <f t="shared" si="0"/>
        <v>-1</v>
      </c>
      <c r="I12" s="3">
        <f>IF($H12=0,1,IF($H12&gt;0,3,0))</f>
        <v>0</v>
      </c>
      <c r="L12" s="3">
        <f>IF($H12=0,1,IF($H12&gt;0,0,3))</f>
        <v>3</v>
      </c>
    </row>
    <row r="13" spans="2:12">
      <c r="B13" s="1"/>
      <c r="C13" s="8" t="s">
        <v>35</v>
      </c>
      <c r="D13" s="9">
        <v>10</v>
      </c>
      <c r="E13" s="12" t="s">
        <v>38</v>
      </c>
      <c r="F13" s="11"/>
      <c r="G13" s="22" t="s">
        <v>41</v>
      </c>
      <c r="H13" s="29">
        <f t="shared" si="0"/>
        <v>1</v>
      </c>
      <c r="J13" s="3">
        <f>IF($H13=0,1,IF($H13&gt;0,0,3))</f>
        <v>0</v>
      </c>
      <c r="K13" s="3">
        <f>IF($H13=0,1,IF($H13&gt;0,3,0))</f>
        <v>3</v>
      </c>
    </row>
    <row r="14" spans="2:12">
      <c r="B14" s="1"/>
      <c r="C14" s="8" t="s">
        <v>35</v>
      </c>
      <c r="D14" s="9">
        <v>11</v>
      </c>
      <c r="E14" s="10" t="s">
        <v>36</v>
      </c>
      <c r="F14" s="17" t="s">
        <v>38</v>
      </c>
      <c r="G14" s="22" t="s">
        <v>47</v>
      </c>
      <c r="H14" s="29">
        <f t="shared" si="0"/>
        <v>-5</v>
      </c>
      <c r="I14" s="3">
        <f>IF($H14=0,1,IF($H14&gt;0,3,0))</f>
        <v>0</v>
      </c>
      <c r="K14" s="3">
        <f>IF($H14=0,1,IF($H14&gt;0,0,3))</f>
        <v>3</v>
      </c>
    </row>
    <row r="15" spans="2:12">
      <c r="B15" s="1"/>
      <c r="C15" s="8" t="s">
        <v>35</v>
      </c>
      <c r="D15" s="9">
        <v>12</v>
      </c>
      <c r="E15" s="18"/>
      <c r="F15" s="24"/>
      <c r="G15" s="22" t="s">
        <v>48</v>
      </c>
      <c r="H15" s="29">
        <f t="shared" si="0"/>
        <v>-3</v>
      </c>
      <c r="J15" s="3">
        <f>IF($H15=0,1,IF($H15&gt;0,3,0))</f>
        <v>0</v>
      </c>
      <c r="L15" s="3">
        <f>IF($H15=0,1,IF($H15&gt;0,0,3))</f>
        <v>3</v>
      </c>
    </row>
    <row r="16" spans="2:12">
      <c r="B16" s="1"/>
      <c r="C16" s="8" t="s">
        <v>35</v>
      </c>
      <c r="D16" s="9">
        <v>13</v>
      </c>
      <c r="E16" s="10" t="s">
        <v>36</v>
      </c>
      <c r="F16" s="11"/>
      <c r="G16" s="22" t="s">
        <v>37</v>
      </c>
      <c r="H16" s="29">
        <f t="shared" si="0"/>
        <v>-2</v>
      </c>
      <c r="I16" s="3">
        <f>IF($H16=0,1,IF($H16&gt;0,3,0))</f>
        <v>0</v>
      </c>
      <c r="J16" s="3">
        <f>IF($H16=0,1,IF($H16&gt;0,0,3))</f>
        <v>3</v>
      </c>
    </row>
    <row r="17" spans="2:12">
      <c r="B17" s="1"/>
      <c r="C17" s="13" t="s">
        <v>35</v>
      </c>
      <c r="D17" s="14">
        <v>14</v>
      </c>
      <c r="E17" s="15" t="s">
        <v>38</v>
      </c>
      <c r="F17" s="25"/>
      <c r="G17" s="22" t="s">
        <v>39</v>
      </c>
      <c r="H17" s="29">
        <f t="shared" si="0"/>
        <v>0</v>
      </c>
      <c r="K17" s="3">
        <f>IF($H17=0,1,IF($H17&gt;0,3,0))</f>
        <v>1</v>
      </c>
      <c r="L17" s="3">
        <f>IF($H17=0,1,IF($H17&gt;0,0,3))</f>
        <v>1</v>
      </c>
    </row>
    <row r="18" spans="2:12">
      <c r="B18" s="1"/>
      <c r="C18" s="2"/>
      <c r="D18" s="19"/>
      <c r="E18" s="1"/>
      <c r="F18" s="1"/>
      <c r="G18" s="1"/>
    </row>
    <row r="19" spans="2:12">
      <c r="C19" s="27" t="s">
        <v>49</v>
      </c>
    </row>
    <row r="20" spans="2:12">
      <c r="C20" s="8"/>
      <c r="D20" s="9">
        <v>15</v>
      </c>
      <c r="E20" s="10" t="s">
        <v>36</v>
      </c>
      <c r="F20" s="25"/>
      <c r="G20" s="22"/>
      <c r="H20" s="23"/>
    </row>
    <row r="21" spans="2:12">
      <c r="C21" s="13"/>
      <c r="D21" s="14">
        <v>16</v>
      </c>
      <c r="E21" s="15" t="s">
        <v>38</v>
      </c>
      <c r="F21" s="11"/>
      <c r="G21" s="22"/>
    </row>
    <row r="22" spans="2:12">
      <c r="C22" s="20" t="s">
        <v>30</v>
      </c>
      <c r="I22" s="3">
        <f>SUM(I4:I21)</f>
        <v>6</v>
      </c>
      <c r="J22" s="3">
        <f t="shared" ref="J22:L22" si="1">SUM(J4:J21)</f>
        <v>7</v>
      </c>
      <c r="K22" s="3">
        <f t="shared" si="1"/>
        <v>12</v>
      </c>
      <c r="L22" s="3">
        <f t="shared" si="1"/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D0F5-5862-4CB9-B71A-3A1845DB1960}">
  <dimension ref="A1:A11"/>
  <sheetViews>
    <sheetView workbookViewId="0"/>
  </sheetViews>
  <sheetFormatPr defaultRowHeight="14.25"/>
  <sheetData>
    <row r="1" spans="1:1" ht="18">
      <c r="A1" s="21" t="s">
        <v>37</v>
      </c>
    </row>
    <row r="2" spans="1:1" ht="18">
      <c r="A2" s="28" t="s">
        <v>43</v>
      </c>
    </row>
    <row r="3" spans="1:1" ht="18">
      <c r="A3" s="21" t="s">
        <v>43</v>
      </c>
    </row>
    <row r="4" spans="1:1" ht="18">
      <c r="A4" s="33"/>
    </row>
    <row r="5" spans="1:1" ht="18">
      <c r="A5" s="33" t="s">
        <v>46</v>
      </c>
    </row>
    <row r="6" spans="1:1" ht="18">
      <c r="A6" s="33" t="s">
        <v>50</v>
      </c>
    </row>
    <row r="7" spans="1:1" ht="18">
      <c r="A7" s="33" t="s">
        <v>37</v>
      </c>
    </row>
    <row r="8" spans="1:1" ht="18">
      <c r="A8" s="33" t="s">
        <v>45</v>
      </c>
    </row>
    <row r="9" spans="1:1" ht="18">
      <c r="A9" s="33" t="s">
        <v>43</v>
      </c>
    </row>
    <row r="10" spans="1:1" ht="18">
      <c r="A10" s="33" t="s">
        <v>37</v>
      </c>
    </row>
    <row r="11" spans="1:1" ht="18">
      <c r="A11" s="3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Tinnakorn Siritanyapong</dc:creator>
  <cp:keywords/>
  <dc:description/>
  <cp:lastModifiedBy/>
  <cp:revision/>
  <dcterms:created xsi:type="dcterms:W3CDTF">2015-06-05T18:17:20Z</dcterms:created>
  <dcterms:modified xsi:type="dcterms:W3CDTF">2026-10-03T17:14:49Z</dcterms:modified>
  <cp:category/>
  <cp:contentStatus/>
</cp:coreProperties>
</file>